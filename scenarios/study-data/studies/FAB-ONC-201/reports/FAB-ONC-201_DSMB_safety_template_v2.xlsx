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E_Listing" sheetId="2" state="visible" r:id="rId2"/>
    <sheet xmlns:r="http://schemas.openxmlformats.org/officeDocument/2006/relationships" name="Exposure" sheetId="3" state="visible" r:id="rId3"/>
    <sheet xmlns:r="http://schemas.openxmlformats.org/officeDocument/2006/relationships" name="Lab_Shifts" sheetId="4" state="visible" r:id="rId4"/>
  </sheets>
  <definedNames>
    <definedName name="CUTOFF">Summary!$B$2</definedName>
    <definedName name="AE_ARM">AE_Listing!$B$2:$B$5000</definedName>
    <definedName name="AE_SOC">AE_Listing!$F$2:$F$5000</definedName>
    <definedName name="AE_GRADE">AE_Listing!$G$2:$G$5000</definedName>
    <definedName name="AE_SER">AE_Listing!$H$2:$H$5000</definedName>
    <definedName name="AE_START">AE_Listing!$A$2</definedName>
    <definedName name="EXPOSED_ARM">Exposure!$B$2:$B$2000</definedName>
    <definedName name="EXPOSURE_START">Exposure!$A$2</definedName>
    <definedName name="LAB_START">Lab_Shifts!$A$2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≥3 events by SOC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'Summary'!$A$6:$A$14</f>
            </numRef>
          </cat>
          <val>
            <numRef>
              <f>'Summary'!$C$6:$C$14</f>
            </numRef>
          </val>
        </ser>
        <ser>
          <idx val="1"/>
          <order val="1"/>
          <tx>
            <strRef>
              <f>'Summary'!E5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'Summary'!$A$6:$A$14</f>
            </numRef>
          </cat>
          <val>
            <numRef>
              <f>'Summary'!$E$6:$E$14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FAB-ONC-201 DSMB safety summary</t>
        </is>
      </c>
    </row>
    <row r="2">
      <c r="A2" t="inlineStr">
        <is>
          <t>Data cut-off:</t>
        </is>
      </c>
    </row>
    <row r="3">
      <c r="A3" t="inlineStr">
        <is>
          <t>Prepared by Fabrikam Clinical Research for the Data Safety Monitoring Board. Arms are shown coded (X / Y).</t>
        </is>
      </c>
    </row>
    <row r="5">
      <c r="A5" s="2" t="inlineStr">
        <is>
          <t>System organ class</t>
        </is>
      </c>
      <c r="B5" s="2" t="inlineStr">
        <is>
          <t>Arm X all grades</t>
        </is>
      </c>
      <c r="C5" s="2" t="inlineStr">
        <is>
          <t>Arm X grade ≥3</t>
        </is>
      </c>
      <c r="D5" s="2" t="inlineStr">
        <is>
          <t>Arm Y all grades</t>
        </is>
      </c>
      <c r="E5" s="2" t="inlineStr">
        <is>
          <t>Arm Y grade ≥3</t>
        </is>
      </c>
      <c r="F5" s="2" t="inlineStr">
        <is>
          <t>Serious</t>
        </is>
      </c>
    </row>
    <row r="6">
      <c r="A6" t="inlineStr">
        <is>
          <t>Blood and lymphatic system disorders</t>
        </is>
      </c>
      <c r="B6">
        <f>COUNTIFS(AE_SOC,$A6,AE_ARM,"X")</f>
        <v/>
      </c>
      <c r="C6">
        <f>COUNTIFS(AE_SOC,$A6,AE_ARM,"X",AE_GRADE,"&gt;=3")</f>
        <v/>
      </c>
      <c r="D6">
        <f>COUNTIFS(AE_SOC,$A6,AE_ARM,"Y")</f>
        <v/>
      </c>
      <c r="E6">
        <f>COUNTIFS(AE_SOC,$A6,AE_ARM,"Y",AE_GRADE,"&gt;=3")</f>
        <v/>
      </c>
      <c r="F6">
        <f>COUNTIFS(AE_SOC,$A6,AE_SER,"Y")</f>
        <v/>
      </c>
    </row>
    <row r="7">
      <c r="A7" t="inlineStr">
        <is>
          <t>Gastrointestinal disorders</t>
        </is>
      </c>
      <c r="B7">
        <f>COUNTIFS(AE_SOC,$A7,AE_ARM,"X")</f>
        <v/>
      </c>
      <c r="C7">
        <f>COUNTIFS(AE_SOC,$A7,AE_ARM,"X",AE_GRADE,"&gt;=3")</f>
        <v/>
      </c>
      <c r="D7">
        <f>COUNTIFS(AE_SOC,$A7,AE_ARM,"Y")</f>
        <v/>
      </c>
      <c r="E7">
        <f>COUNTIFS(AE_SOC,$A7,AE_ARM,"Y",AE_GRADE,"&gt;=3")</f>
        <v/>
      </c>
      <c r="F7">
        <f>COUNTIFS(AE_SOC,$A7,AE_SER,"Y")</f>
        <v/>
      </c>
    </row>
    <row r="8">
      <c r="A8" t="inlineStr">
        <is>
          <t>General disorders and administration site conditions</t>
        </is>
      </c>
      <c r="B8">
        <f>COUNTIFS(AE_SOC,$A8,AE_ARM,"X")</f>
        <v/>
      </c>
      <c r="C8">
        <f>COUNTIFS(AE_SOC,$A8,AE_ARM,"X",AE_GRADE,"&gt;=3")</f>
        <v/>
      </c>
      <c r="D8">
        <f>COUNTIFS(AE_SOC,$A8,AE_ARM,"Y")</f>
        <v/>
      </c>
      <c r="E8">
        <f>COUNTIFS(AE_SOC,$A8,AE_ARM,"Y",AE_GRADE,"&gt;=3")</f>
        <v/>
      </c>
      <c r="F8">
        <f>COUNTIFS(AE_SOC,$A8,AE_SER,"Y")</f>
        <v/>
      </c>
    </row>
    <row r="9">
      <c r="A9" t="inlineStr">
        <is>
          <t>Investigations</t>
        </is>
      </c>
      <c r="B9">
        <f>COUNTIFS(AE_SOC,$A9,AE_ARM,"X")</f>
        <v/>
      </c>
      <c r="C9">
        <f>COUNTIFS(AE_SOC,$A9,AE_ARM,"X",AE_GRADE,"&gt;=3")</f>
        <v/>
      </c>
      <c r="D9">
        <f>COUNTIFS(AE_SOC,$A9,AE_ARM,"Y")</f>
        <v/>
      </c>
      <c r="E9">
        <f>COUNTIFS(AE_SOC,$A9,AE_ARM,"Y",AE_GRADE,"&gt;=3")</f>
        <v/>
      </c>
      <c r="F9">
        <f>COUNTIFS(AE_SOC,$A9,AE_SER,"Y")</f>
        <v/>
      </c>
    </row>
    <row r="10">
      <c r="A10" t="inlineStr">
        <is>
          <t>Metabolism and nutrition disorders</t>
        </is>
      </c>
      <c r="B10">
        <f>COUNTIFS(AE_SOC,$A10,AE_ARM,"X")</f>
        <v/>
      </c>
      <c r="C10">
        <f>COUNTIFS(AE_SOC,$A10,AE_ARM,"X",AE_GRADE,"&gt;=3")</f>
        <v/>
      </c>
      <c r="D10">
        <f>COUNTIFS(AE_SOC,$A10,AE_ARM,"Y")</f>
        <v/>
      </c>
      <c r="E10">
        <f>COUNTIFS(AE_SOC,$A10,AE_ARM,"Y",AE_GRADE,"&gt;=3")</f>
        <v/>
      </c>
      <c r="F10">
        <f>COUNTIFS(AE_SOC,$A10,AE_SER,"Y")</f>
        <v/>
      </c>
    </row>
    <row r="11">
      <c r="A11" t="inlineStr">
        <is>
          <t>Nervous system disorders</t>
        </is>
      </c>
      <c r="B11">
        <f>COUNTIFS(AE_SOC,$A11,AE_ARM,"X")</f>
        <v/>
      </c>
      <c r="C11">
        <f>COUNTIFS(AE_SOC,$A11,AE_ARM,"X",AE_GRADE,"&gt;=3")</f>
        <v/>
      </c>
      <c r="D11">
        <f>COUNTIFS(AE_SOC,$A11,AE_ARM,"Y")</f>
        <v/>
      </c>
      <c r="E11">
        <f>COUNTIFS(AE_SOC,$A11,AE_ARM,"Y",AE_GRADE,"&gt;=3")</f>
        <v/>
      </c>
      <c r="F11">
        <f>COUNTIFS(AE_SOC,$A11,AE_SER,"Y")</f>
        <v/>
      </c>
    </row>
    <row r="12">
      <c r="A12" t="inlineStr">
        <is>
          <t>Infections and infestations</t>
        </is>
      </c>
      <c r="B12">
        <f>COUNTIFS(AE_SOC,$A12,AE_ARM,"X")</f>
        <v/>
      </c>
      <c r="C12">
        <f>COUNTIFS(AE_SOC,$A12,AE_ARM,"X",AE_GRADE,"&gt;=3")</f>
        <v/>
      </c>
      <c r="D12">
        <f>COUNTIFS(AE_SOC,$A12,AE_ARM,"Y")</f>
        <v/>
      </c>
      <c r="E12">
        <f>COUNTIFS(AE_SOC,$A12,AE_ARM,"Y",AE_GRADE,"&gt;=3")</f>
        <v/>
      </c>
      <c r="F12">
        <f>COUNTIFS(AE_SOC,$A12,AE_SER,"Y")</f>
        <v/>
      </c>
    </row>
    <row r="13">
      <c r="A13" t="inlineStr">
        <is>
          <t>Skin and subcutaneous tissue disorders</t>
        </is>
      </c>
      <c r="B13">
        <f>COUNTIFS(AE_SOC,$A13,AE_ARM,"X")</f>
        <v/>
      </c>
      <c r="C13">
        <f>COUNTIFS(AE_SOC,$A13,AE_ARM,"X",AE_GRADE,"&gt;=3")</f>
        <v/>
      </c>
      <c r="D13">
        <f>COUNTIFS(AE_SOC,$A13,AE_ARM,"Y")</f>
        <v/>
      </c>
      <c r="E13">
        <f>COUNTIFS(AE_SOC,$A13,AE_ARM,"Y",AE_GRADE,"&gt;=3")</f>
        <v/>
      </c>
      <c r="F13">
        <f>COUNTIFS(AE_SOC,$A13,AE_SER,"Y")</f>
        <v/>
      </c>
    </row>
    <row r="14">
      <c r="A14" t="inlineStr">
        <is>
          <t>Other</t>
        </is>
      </c>
      <c r="B14">
        <f>COUNTIFS(AE_SOC,$A14,AE_ARM,"X")</f>
        <v/>
      </c>
      <c r="C14">
        <f>COUNTIFS(AE_SOC,$A14,AE_ARM,"X",AE_GRADE,"&gt;=3")</f>
        <v/>
      </c>
      <c r="D14">
        <f>COUNTIFS(AE_SOC,$A14,AE_ARM,"Y")</f>
        <v/>
      </c>
      <c r="E14">
        <f>COUNTIFS(AE_SOC,$A14,AE_ARM,"Y",AE_GRADE,"&gt;=3")</f>
        <v/>
      </c>
      <c r="F14">
        <f>COUNTIFS(AE_SOC,$A14,AE_SER,"Y")</f>
        <v/>
      </c>
    </row>
    <row r="15">
      <c r="A15" s="2" t="inlineStr">
        <is>
          <t>Total</t>
        </is>
      </c>
      <c r="B15">
        <f>SUM(B6:B14)</f>
        <v/>
      </c>
      <c r="C15">
        <f>SUM(C6:C14)</f>
        <v/>
      </c>
      <c r="D15">
        <f>SUM(D6:D14)</f>
        <v/>
      </c>
      <c r="E15">
        <f>SUM(E6:E14)</f>
        <v/>
      </c>
      <c r="F15">
        <f>SUM(F6:F14)</f>
        <v/>
      </c>
    </row>
    <row r="17">
      <c r="A17" t="inlineStr">
        <is>
          <t>Subjects exposed, arm X</t>
        </is>
      </c>
      <c r="B17">
        <f>COUNTIFS(EXPOSED_ARM,"X")</f>
        <v/>
      </c>
    </row>
    <row r="18">
      <c r="A18" t="inlineStr">
        <is>
          <t>Subjects exposed, arm Y</t>
        </is>
      </c>
      <c r="B18">
        <f>COUNTIFS(EXPOSED_ARM,"Y")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Subject</t>
        </is>
      </c>
      <c r="B1" s="2" t="inlineStr">
        <is>
          <t>Arm</t>
        </is>
      </c>
      <c r="C1" s="2" t="inlineStr">
        <is>
          <t>Site</t>
        </is>
      </c>
      <c r="D1" s="2" t="inlineStr">
        <is>
          <t>Verbatim</t>
        </is>
      </c>
      <c r="E1" s="2" t="inlineStr">
        <is>
          <t>Preferred term</t>
        </is>
      </c>
      <c r="F1" s="2" t="inlineStr">
        <is>
          <t>SOC</t>
        </is>
      </c>
      <c r="G1" s="2" t="inlineStr">
        <is>
          <t>Grade</t>
        </is>
      </c>
      <c r="H1" s="2" t="inlineStr">
        <is>
          <t>Serious</t>
        </is>
      </c>
      <c r="I1" s="2" t="inlineStr">
        <is>
          <t>Related</t>
        </is>
      </c>
      <c r="J1" s="2" t="inlineStr">
        <is>
          <t>Start</t>
        </is>
      </c>
      <c r="K1" s="2" t="inlineStr">
        <is>
          <t>End</t>
        </is>
      </c>
      <c r="L1" s="2" t="inlineStr">
        <is>
          <t>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Subject</t>
        </is>
      </c>
      <c r="B1" s="2" t="inlineStr">
        <is>
          <t>Arm</t>
        </is>
      </c>
      <c r="C1" s="2" t="inlineStr">
        <is>
          <t>Cycles</t>
        </is>
      </c>
      <c r="D1" s="2" t="inlineStr">
        <is>
          <t>Carboplatin total mg</t>
        </is>
      </c>
      <c r="E1" s="2" t="inlineStr">
        <is>
          <t>FAB-1157 total mg</t>
        </is>
      </c>
      <c r="F1" s="2" t="inlineStr">
        <is>
          <t>Dose reductions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Subject</t>
        </is>
      </c>
      <c r="B1" s="2" t="inlineStr">
        <is>
          <t>Arm</t>
        </is>
      </c>
      <c r="C1" s="2" t="inlineStr">
        <is>
          <t>Test</t>
        </is>
      </c>
      <c r="D1" s="2" t="inlineStr">
        <is>
          <t>Baseline</t>
        </is>
      </c>
      <c r="E1" s="2" t="inlineStr">
        <is>
          <t>Worst value</t>
        </is>
      </c>
      <c r="F1" s="2" t="inlineStr">
        <is>
          <t>Worst grade</t>
        </is>
      </c>
      <c r="G1" s="2" t="inlineStr">
        <is>
          <t>Visit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Fabrikam Biostatistics</dc:creator>
  <dcterms:created xmlns:dcterms="http://purl.org/dc/terms/" xmlns:xsi="http://www.w3.org/2001/XMLSchema-instance" xsi:type="dcterms:W3CDTF">2026-03-12T09:00:00Z</dcterms:created>
  <dcterms:modified xmlns:dcterms="http://purl.org/dc/terms/" xmlns:xsi="http://www.w3.org/2001/XMLSchema-instance" xsi:type="dcterms:W3CDTF">2026-10-29T22:19:06Z</dcterms:modified>
</cp:coreProperties>
</file>