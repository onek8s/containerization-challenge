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Outpu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Change log" sheetId="4" state="visible" r:id="rId4"/>
  </sheets>
  <definedNames>
    <definedName name="HEIGHT_CM">Inputs!$C$5</definedName>
    <definedName name="WEIGHT_KG">Inputs!$C$6</definedName>
    <definedName name="SEX">Inputs!$C$7</definedName>
    <definedName name="AGE_Y">Inputs!$C$8</definedName>
    <definedName name="SCR_UMOL">Inputs!$C$9</definedName>
    <definedName name="AUC_TARGET">Inputs!$C$10</definedName>
    <definedName name="DOSE_MG_KG">Inputs!$C$11</definedName>
    <definedName name="CARBO_ACTUAL">Inputs!$C$12</definedName>
    <definedName name="BMI">Outputs!$C$2</definedName>
    <definedName name="BSA">Outputs!$C$3</definedName>
    <definedName name="CRCL">Outputs!$C$4</definedName>
    <definedName name="CRCL_CAPPED">Outputs!$C$5</definedName>
    <definedName name="EGFR">Outputs!$C$6</definedName>
    <definedName name="CARBO_DOSE">Outputs!$C$7</definedName>
    <definedName name="FAB_DOSE">Outputs!$C$8</definedName>
    <definedName name="CARBO_DEV_PCT">Outputs!$C$9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</cols>
  <sheetData>
    <row r="1">
      <c r="A1" s="1" t="inlineStr">
        <is>
          <t>FAB-ONC-201 derivations</t>
        </is>
      </c>
    </row>
    <row r="2">
      <c r="A2" t="inlineStr">
        <is>
          <t>Version 3 - validated 2026-03-12 (VR-201-DERIV-003). Do not edit without change control.</t>
        </is>
      </c>
    </row>
    <row r="4">
      <c r="A4" s="2" t="inlineStr">
        <is>
          <t>Name</t>
        </is>
      </c>
      <c r="B4" s="2" t="inlineStr">
        <is>
          <t>Input</t>
        </is>
      </c>
      <c r="C4" s="2" t="inlineStr">
        <is>
          <t>Value</t>
        </is>
      </c>
      <c r="D4" s="2" t="inlineStr">
        <is>
          <t>Unit</t>
        </is>
      </c>
    </row>
    <row r="5">
      <c r="A5" t="inlineStr">
        <is>
          <t>HEIGHT_CM</t>
        </is>
      </c>
      <c r="B5" t="inlineStr">
        <is>
          <t>Height</t>
        </is>
      </c>
      <c r="C5" s="3" t="n"/>
      <c r="D5" t="inlineStr">
        <is>
          <t>cm</t>
        </is>
      </c>
    </row>
    <row r="6">
      <c r="A6" t="inlineStr">
        <is>
          <t>WEIGHT_KG</t>
        </is>
      </c>
      <c r="B6" t="inlineStr">
        <is>
          <t>Weight</t>
        </is>
      </c>
      <c r="C6" s="3" t="n"/>
      <c r="D6" t="inlineStr">
        <is>
          <t>kg</t>
        </is>
      </c>
    </row>
    <row r="7">
      <c r="A7" t="inlineStr">
        <is>
          <t>SEX</t>
        </is>
      </c>
      <c r="B7" t="inlineStr">
        <is>
          <t>Sex (M/F)</t>
        </is>
      </c>
      <c r="C7" s="3" t="n"/>
    </row>
    <row r="8">
      <c r="A8" t="inlineStr">
        <is>
          <t>AGE_Y</t>
        </is>
      </c>
      <c r="B8" t="inlineStr">
        <is>
          <t>Age at consent</t>
        </is>
      </c>
      <c r="C8" s="3" t="n"/>
      <c r="D8" t="inlineStr">
        <is>
          <t>years</t>
        </is>
      </c>
    </row>
    <row r="9">
      <c r="A9" t="inlineStr">
        <is>
          <t>SCR_UMOL</t>
        </is>
      </c>
      <c r="B9" t="inlineStr">
        <is>
          <t>Serum creatinine</t>
        </is>
      </c>
      <c r="C9" s="3" t="n"/>
      <c r="D9" t="inlineStr">
        <is>
          <t>µmol/L</t>
        </is>
      </c>
    </row>
    <row r="10">
      <c r="A10" t="inlineStr">
        <is>
          <t>AUC_TARGET</t>
        </is>
      </c>
      <c r="B10" t="inlineStr">
        <is>
          <t>Carboplatin target AUC</t>
        </is>
      </c>
      <c r="C10" s="3" t="n"/>
      <c r="D10" t="inlineStr">
        <is>
          <t>mg/mL·min</t>
        </is>
      </c>
    </row>
    <row r="11">
      <c r="A11" t="inlineStr">
        <is>
          <t>DOSE_MG_KG</t>
        </is>
      </c>
      <c r="B11" t="inlineStr">
        <is>
          <t>FAB-1157 dose level</t>
        </is>
      </c>
      <c r="C11" s="3" t="n"/>
      <c r="D11" t="inlineStr">
        <is>
          <t>mg/kg</t>
        </is>
      </c>
    </row>
    <row r="12">
      <c r="A12" t="inlineStr">
        <is>
          <t>CARBO_ACTUAL</t>
        </is>
      </c>
      <c r="B12" t="inlineStr">
        <is>
          <t>Carboplatin dose given</t>
        </is>
      </c>
      <c r="C12" s="3" t="n"/>
      <c r="D12" t="inlineStr">
        <is>
          <t>mg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46" customWidth="1" min="5" max="5"/>
  </cols>
  <sheetData>
    <row r="1">
      <c r="A1" s="2" t="inlineStr">
        <is>
          <t>Name</t>
        </is>
      </c>
      <c r="B1" s="2" t="inlineStr">
        <is>
          <t>Output</t>
        </is>
      </c>
      <c r="C1" s="2" t="inlineStr">
        <is>
          <t>Value</t>
        </is>
      </c>
      <c r="D1" s="2" t="inlineStr">
        <is>
          <t>Unit</t>
        </is>
      </c>
      <c r="E1" s="2" t="inlineStr">
        <is>
          <t>Method</t>
        </is>
      </c>
    </row>
    <row r="2">
      <c r="A2" t="inlineStr">
        <is>
          <t>BMI</t>
        </is>
      </c>
      <c r="B2" t="inlineStr">
        <is>
          <t>Body mass index</t>
        </is>
      </c>
      <c r="C2" s="4">
        <f>IF(AND(N(HEIGHT_CM)&gt;0,N(WEIGHT_KG)&gt;0),WEIGHT_KG/(HEIGHT_CM/100)^2,"")</f>
        <v/>
      </c>
      <c r="D2" t="inlineStr">
        <is>
          <t>kg/m²</t>
        </is>
      </c>
      <c r="E2" t="inlineStr">
        <is>
          <t>weight / height²</t>
        </is>
      </c>
    </row>
    <row r="3">
      <c r="A3" t="inlineStr">
        <is>
          <t>BSA</t>
        </is>
      </c>
      <c r="B3" t="inlineStr">
        <is>
          <t>Body surface area</t>
        </is>
      </c>
      <c r="C3" s="4">
        <f>IF(AND(N(HEIGHT_CM)&gt;0,N(WEIGHT_KG)&gt;0),SQRT(HEIGHT_CM*WEIGHT_KG/3600),"")</f>
        <v/>
      </c>
      <c r="D3" t="inlineStr">
        <is>
          <t>m²</t>
        </is>
      </c>
      <c r="E3" t="inlineStr">
        <is>
          <t>Mosteller</t>
        </is>
      </c>
    </row>
    <row r="4">
      <c r="A4" t="inlineStr">
        <is>
          <t>CRCL</t>
        </is>
      </c>
      <c r="B4" t="inlineStr">
        <is>
          <t>Creatinine clearance</t>
        </is>
      </c>
      <c r="C4" s="4">
        <f>IF(AND(N(AGE_Y)&gt;0,N(WEIGHT_KG)&gt;0,N(SCR_UMOL)&gt;0),(140-AGE_Y)*WEIGHT_KG*IF(SEX="F",1.04,1.23)/SCR_UMOL,"")</f>
        <v/>
      </c>
      <c r="D4" t="inlineStr">
        <is>
          <t>mL/min</t>
        </is>
      </c>
      <c r="E4" t="inlineStr">
        <is>
          <t>Cockcroft-Gault, actual body weight</t>
        </is>
      </c>
    </row>
    <row r="5">
      <c r="A5" t="inlineStr">
        <is>
          <t>CRCL_CAPPED</t>
        </is>
      </c>
      <c r="B5" t="inlineStr">
        <is>
          <t>Creatinine clearance for dosing</t>
        </is>
      </c>
      <c r="C5" s="4">
        <f>IF(CRCL="","",MIN(CRCL,125))</f>
        <v/>
      </c>
      <c r="D5" t="inlineStr">
        <is>
          <t>mL/min</t>
        </is>
      </c>
      <c r="E5" t="inlineStr">
        <is>
          <t>capped at 125 mL/min (protocol 6.2)</t>
        </is>
      </c>
    </row>
    <row r="6">
      <c r="A6" t="inlineStr">
        <is>
          <t>EGFR</t>
        </is>
      </c>
      <c r="B6" t="inlineStr">
        <is>
          <t>eGFR</t>
        </is>
      </c>
      <c r="C6" s="4">
        <f>IF(AND(N(AGE_Y)&gt;0,N(SCR_UMOL)&gt;0),142*MIN(SCR_UMOL/88.4/IF(SEX="F",0.7,0.9),1)^IF(SEX="F",-0.241,-0.302)*MAX(SCR_UMOL/88.4/IF(SEX="F",0.7,0.9),1)^-1.2*0.9938^AGE_Y*IF(SEX="F",1.012,1),"")</f>
        <v/>
      </c>
      <c r="D6" t="inlineStr">
        <is>
          <t>mL/min/1.73m²</t>
        </is>
      </c>
      <c r="E6" t="inlineStr">
        <is>
          <t>CKD-EPI 2021</t>
        </is>
      </c>
    </row>
    <row r="7">
      <c r="A7" t="inlineStr">
        <is>
          <t>CARBO_DOSE</t>
        </is>
      </c>
      <c r="B7" t="inlineStr">
        <is>
          <t>Carboplatin planned dose</t>
        </is>
      </c>
      <c r="C7" s="4">
        <f>IF(AND(N(AUC_TARGET)&gt;0,CRCL_CAPPED&lt;&gt;""),MIN(ROUND(AUC_TARGET*(CRCL_CAPPED+25),0),AUC_TARGET*150),"")</f>
        <v/>
      </c>
      <c r="D7" t="inlineStr">
        <is>
          <t>mg</t>
        </is>
      </c>
      <c r="E7" t="inlineStr">
        <is>
          <t>Calvert, max AUC x 150 mg</t>
        </is>
      </c>
    </row>
    <row r="8">
      <c r="A8" t="inlineStr">
        <is>
          <t>FAB_DOSE</t>
        </is>
      </c>
      <c r="B8" t="inlineStr">
        <is>
          <t>FAB-1157 planned dose</t>
        </is>
      </c>
      <c r="C8" s="4">
        <f>IF(AND(N(DOSE_MG_KG)&gt;0,N(WEIGHT_KG)&gt;0),MIN(MROUND(DOSE_MG_KG*WEIGHT_KG,10),1000),"")</f>
        <v/>
      </c>
      <c r="D8" t="inlineStr">
        <is>
          <t>mg</t>
        </is>
      </c>
      <c r="E8" t="inlineStr">
        <is>
          <t>dose level x weight, nearest 10 mg, max 1000 mg</t>
        </is>
      </c>
    </row>
    <row r="9">
      <c r="A9" t="inlineStr">
        <is>
          <t>CARBO_DEV_PCT</t>
        </is>
      </c>
      <c r="B9" t="inlineStr">
        <is>
          <t>Carboplatin deviation</t>
        </is>
      </c>
      <c r="C9" s="4">
        <f>IF(AND(CARBO_DOSE&lt;&gt;"",N(CARBO_ACTUAL)&gt;0),(CARBO_ACTUAL-CARBO_DOSE)/CARBO_DOSE*100,"")</f>
        <v/>
      </c>
      <c r="D9" t="inlineStr">
        <is>
          <t>%</t>
        </is>
      </c>
      <c r="E9" t="inlineStr">
        <is>
          <t>(given - planned) / planned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Case</t>
        </is>
      </c>
      <c r="B1" s="2" t="inlineStr">
        <is>
          <t>HEIGHT_CM</t>
        </is>
      </c>
      <c r="C1" s="2" t="inlineStr">
        <is>
          <t>WEIGHT_KG</t>
        </is>
      </c>
      <c r="D1" s="2" t="inlineStr">
        <is>
          <t>SEX</t>
        </is>
      </c>
      <c r="E1" s="2" t="inlineStr">
        <is>
          <t>AGE_Y</t>
        </is>
      </c>
      <c r="F1" s="2" t="inlineStr">
        <is>
          <t>SCR_UMOL</t>
        </is>
      </c>
      <c r="G1" s="2" t="inlineStr">
        <is>
          <t>AUC_TARGET</t>
        </is>
      </c>
      <c r="H1" s="2" t="inlineStr">
        <is>
          <t>DOSE_MG_KG</t>
        </is>
      </c>
      <c r="I1" s="2" t="inlineStr">
        <is>
          <t>Expected CRCL</t>
        </is>
      </c>
      <c r="J1" s="2" t="inlineStr">
        <is>
          <t>Expected CARBO_DOSE</t>
        </is>
      </c>
      <c r="K1" s="2" t="inlineStr">
        <is>
          <t>Expected FAB_DOSE</t>
        </is>
      </c>
      <c r="L1" s="2" t="inlineStr">
        <is>
          <t>Expected EGFR</t>
        </is>
      </c>
    </row>
    <row r="2">
      <c r="A2" t="inlineStr">
        <is>
          <t>TC01</t>
        </is>
      </c>
      <c r="B2" t="n">
        <v>165</v>
      </c>
      <c r="C2" t="n">
        <v>68</v>
      </c>
      <c r="D2" t="inlineStr">
        <is>
          <t>F</t>
        </is>
      </c>
      <c r="E2" t="n">
        <v>58</v>
      </c>
      <c r="F2" t="n">
        <v>62</v>
      </c>
      <c r="G2" t="n">
        <v>5</v>
      </c>
      <c r="H2" t="n">
        <v>8</v>
      </c>
      <c r="I2" t="n">
        <v>93.5</v>
      </c>
      <c r="J2" t="n">
        <v>593</v>
      </c>
      <c r="K2" t="n">
        <v>540</v>
      </c>
      <c r="L2" t="n">
        <v>100</v>
      </c>
    </row>
    <row r="3">
      <c r="A3" t="inlineStr">
        <is>
          <t>TC02</t>
        </is>
      </c>
      <c r="B3" t="n">
        <v>158</v>
      </c>
      <c r="C3" t="n">
        <v>52.4</v>
      </c>
      <c r="D3" t="inlineStr">
        <is>
          <t>F</t>
        </is>
      </c>
      <c r="E3" t="n">
        <v>71</v>
      </c>
      <c r="F3" t="n">
        <v>88</v>
      </c>
      <c r="G3" t="n">
        <v>5</v>
      </c>
      <c r="H3" t="n">
        <v>8</v>
      </c>
      <c r="I3" t="n">
        <v>42.7</v>
      </c>
      <c r="J3" t="n">
        <v>339</v>
      </c>
      <c r="K3" t="n">
        <v>420</v>
      </c>
      <c r="L3" t="n">
        <v>61</v>
      </c>
    </row>
    <row r="4">
      <c r="A4" t="inlineStr">
        <is>
          <t>TC03</t>
        </is>
      </c>
      <c r="B4" t="n">
        <v>171</v>
      </c>
      <c r="C4" t="n">
        <v>95</v>
      </c>
      <c r="D4" t="inlineStr">
        <is>
          <t>F</t>
        </is>
      </c>
      <c r="E4" t="n">
        <v>49</v>
      </c>
      <c r="F4" t="n">
        <v>140</v>
      </c>
      <c r="G4" t="n">
        <v>4</v>
      </c>
      <c r="H4" t="n">
        <v>6</v>
      </c>
      <c r="I4" t="n">
        <v>64.2</v>
      </c>
      <c r="J4" t="n">
        <v>357</v>
      </c>
      <c r="K4" t="n">
        <v>570</v>
      </c>
      <c r="L4" t="n">
        <v>40</v>
      </c>
    </row>
    <row r="5">
      <c r="A5" t="inlineStr">
        <is>
          <t>TC04</t>
        </is>
      </c>
      <c r="B5" t="n">
        <v>162</v>
      </c>
      <c r="C5" t="n">
        <v>61</v>
      </c>
      <c r="D5" t="inlineStr">
        <is>
          <t>F</t>
        </is>
      </c>
      <c r="E5" t="n">
        <v>35</v>
      </c>
      <c r="F5" t="n">
        <v>45</v>
      </c>
      <c r="G5" t="n">
        <v>6</v>
      </c>
      <c r="H5" t="n">
        <v>8</v>
      </c>
      <c r="I5" t="n">
        <v>148</v>
      </c>
      <c r="J5" t="n">
        <v>900</v>
      </c>
      <c r="K5" t="n">
        <v>490</v>
      </c>
      <c r="L5" t="n">
        <v>125</v>
      </c>
    </row>
    <row r="7">
      <c r="A7" t="inlineStr">
        <is>
          <t>Validated by J. Korhonen 2026-03-12, reviewed by M. Saarinen (QA). Test cases recalculated in Excel 2016 build 16.0.5435.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Date</t>
        </is>
      </c>
      <c r="C1" t="inlineStr">
        <is>
          <t>Change</t>
        </is>
      </c>
    </row>
    <row r="2">
      <c r="A2" t="n">
        <v>1</v>
      </c>
      <c r="B2" t="inlineStr">
        <is>
          <t>2025-09-02</t>
        </is>
      </c>
      <c r="C2" t="inlineStr">
        <is>
          <t>Initial derivations: BMI, BSA, Cockcroft-Gault, Calvert</t>
        </is>
      </c>
    </row>
    <row r="3">
      <c r="A3" t="n">
        <v>2</v>
      </c>
      <c r="B3" t="inlineStr">
        <is>
          <t>2025-11-18</t>
        </is>
      </c>
      <c r="C3" t="inlineStr">
        <is>
          <t>CKD-EPI 2021 eGFR added; creatinine clearance cap 125 mL/min (protocol amendment 2)</t>
        </is>
      </c>
    </row>
    <row r="4">
      <c r="A4" t="n">
        <v>3</v>
      </c>
      <c r="B4" t="inlineStr">
        <is>
          <t>2026-03-04</t>
        </is>
      </c>
      <c r="C4" t="inlineStr">
        <is>
          <t>FAB-1157 dose by weight rounded to 10 mg with 1000 mg cap; carboplatin deviation (amendment 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J. Korhonen</dc:creator>
  <dc:title xmlns:dc="http://purl.org/dc/elements/1.1/">FAB-ONC-201 derivations v3</dc:title>
  <dcterms:created xmlns:dcterms="http://purl.org/dc/terms/" xmlns:xsi="http://www.w3.org/2001/XMLSchema-instance" xsi:type="dcterms:W3CDTF">2026-03-12T09:00:00Z</dcterms:created>
  <dcterms:modified xmlns:dcterms="http://purl.org/dc/terms/" xmlns:xsi="http://www.w3.org/2001/XMLSchema-instance" xsi:type="dcterms:W3CDTF">2026-10-29T22:19:15Z</dcterms:modified>
</cp:coreProperties>
</file>